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d15e04bd8c7cac1/SENAI/OLIMPÍADA DO CONHECIMENTO/PT 2020/PT/SESSION_6/"/>
    </mc:Choice>
  </mc:AlternateContent>
  <xr:revisionPtr revIDLastSave="326" documentId="13_ncr:1_{3CD0D3DC-BC93-46D7-96E1-3D9A46782432}" xr6:coauthVersionLast="45" xr6:coauthVersionMax="45" xr10:uidLastSave="{2DCF1848-05D3-44AC-8FB3-B256C4138F80}"/>
  <bookViews>
    <workbookView xWindow="23460" yWindow="885" windowWidth="10290" windowHeight="6615" xr2:uid="{00000000-000D-0000-FFFF-FFFF00000000}"/>
  </bookViews>
  <sheets>
    <sheet name="CIS Marking Scheme Import" sheetId="1" r:id="rId1"/>
    <sheet name="Calculations" sheetId="6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93" i="1" l="1"/>
  <c r="N90" i="1"/>
  <c r="J10" i="1"/>
  <c r="K10" i="1" s="1"/>
  <c r="J9" i="1"/>
  <c r="K9" i="1" s="1"/>
  <c r="N87" i="1"/>
  <c r="N84" i="1"/>
  <c r="N81" i="1"/>
  <c r="N78" i="1"/>
  <c r="N75" i="1"/>
  <c r="N54" i="1"/>
  <c r="N29" i="1"/>
  <c r="J12" i="1"/>
  <c r="K12" i="1" s="1"/>
  <c r="J11" i="1"/>
  <c r="K11" i="1" s="1"/>
  <c r="J8" i="1"/>
  <c r="K8" i="1" s="1"/>
  <c r="J7" i="1"/>
  <c r="K7" i="1" s="1"/>
  <c r="J6" i="1"/>
  <c r="K6" i="1" s="1"/>
  <c r="J5" i="1"/>
  <c r="K5" i="1" s="1"/>
  <c r="K13" i="1" l="1"/>
  <c r="N98" i="1"/>
</calcChain>
</file>

<file path=xl/sharedStrings.xml><?xml version="1.0" encoding="utf-8"?>
<sst xmlns="http://schemas.openxmlformats.org/spreadsheetml/2006/main" count="357" uniqueCount="99">
  <si>
    <t>Mark</t>
  </si>
  <si>
    <t>Aspect - Description</t>
  </si>
  <si>
    <t>Judg Score</t>
  </si>
  <si>
    <t>WSSS Section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</si>
  <si>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</si>
  <si>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</si>
  <si>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</si>
  <si>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</si>
  <si>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</si>
  <si>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</si>
  <si>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</si>
  <si>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</si>
  <si>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</si>
  <si>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WorldSkills Standards Specification</t>
  </si>
  <si>
    <t>Section</t>
  </si>
  <si>
    <t>Name</t>
  </si>
  <si>
    <t>WSSS Marks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</si>
  <si>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</si>
  <si>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</si>
  <si>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</si>
  <si>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</si>
  <si>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</si>
  <si>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</si>
  <si>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</si>
  <si>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</si>
  <si>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</si>
  <si>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</si>
  <si>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</si>
  <si>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</si>
  <si>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</si>
  <si>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</si>
  <si>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</si>
  <si>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</si>
  <si>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/>
  </si>
  <si>
    <t>REGULAR_DIFFERENCE_DEDUCTION</t>
  </si>
  <si>
    <t>DEDUCTION_TYPE:::#x~x#PERCENT#-#TARGET_VAL_FROM_REQ:::#x~x#true#-#DIFFERENCE:::10.00000000#x~x##-#TARGET_VALUE:::11.00000000#x~x##-#NUM_POSSIBLE:::3.00000000#x~x##-#DIFFERENCE_TYPE:::#x~x#UNIT#-#DEDUCTION:::8.00000000#x~x#</t>
  </si>
  <si>
    <t>Criterion B</t>
  </si>
  <si>
    <t>Criterion C</t>
  </si>
  <si>
    <t>Criterion D</t>
  </si>
  <si>
    <t>Criterion E</t>
  </si>
  <si>
    <t>Criterion F</t>
  </si>
  <si>
    <t>Criterion G</t>
  </si>
  <si>
    <t>Criterion H</t>
  </si>
  <si>
    <t>Criterion I</t>
  </si>
  <si>
    <t>Skill Name</t>
  </si>
  <si>
    <t>Desenvolver soluções de software</t>
  </si>
  <si>
    <t>Resolução de problema, inovação e criatividade</t>
  </si>
  <si>
    <t>Sessão 6</t>
  </si>
  <si>
    <t>A1</t>
  </si>
  <si>
    <t>A2</t>
  </si>
  <si>
    <t>A3</t>
  </si>
  <si>
    <t>A4</t>
  </si>
  <si>
    <t>A5</t>
  </si>
  <si>
    <t>A6</t>
  </si>
  <si>
    <t xml:space="preserve"> </t>
  </si>
  <si>
    <t>B1</t>
  </si>
  <si>
    <t>B2</t>
  </si>
  <si>
    <t>J</t>
  </si>
  <si>
    <t>O layout não é balanceado e não aplica espaçamento suficiente entre os elementos</t>
  </si>
  <si>
    <t>O layout é um tanto equilibrado e / ou harmonioso e aplica espaçamento entre os elementos</t>
  </si>
  <si>
    <t>O layout é equilibrado, harmonioso e inclui espaçamento entre os elementos</t>
  </si>
  <si>
    <t>O layout é muito bem balanceado, harmonioso, inclui espaçamento adequado entre os elementos e elementos eficazes adicionais</t>
  </si>
  <si>
    <t>Não usa o logotipo, as cores ou as fontes em tudo</t>
  </si>
  <si>
    <t>Não usa o logotipo, as cores ou as fontes em todo lugar</t>
  </si>
  <si>
    <t>Não usa o logotipo, as cores ou as fontes apropriadamente conforme descrito</t>
  </si>
  <si>
    <t>Usa logotipo, fontes de acordo e oferece a aparência certa</t>
  </si>
  <si>
    <t>Nenhum dos botões de navegação funciona</t>
  </si>
  <si>
    <t>Cada botão do menu principal junto com os botões de voltar funcionam conforme o esperado</t>
  </si>
  <si>
    <t>Cada botão do menu principal junto com os botões de voltar e uso de outra tecnologia (breadcrumbs, ícones etc)</t>
  </si>
  <si>
    <t>Criatividade no design da interface e usabilidade</t>
  </si>
  <si>
    <t>O layout e a aparência geral são adequados</t>
  </si>
  <si>
    <t>A interface móvel incorpora a identidade da companhia aérea conforme pretendido no guia de estilo</t>
  </si>
  <si>
    <t>Usabilidade e facilidade de navegação no aplicativo móvel</t>
  </si>
  <si>
    <t>Entrega correta de todas as tarefas</t>
  </si>
  <si>
    <t>M</t>
  </si>
  <si>
    <t>Realizou a entrega dentro do tempo de prova estabelecido</t>
  </si>
  <si>
    <t>Implementação da splash screen</t>
  </si>
  <si>
    <t>Implementação do Login</t>
  </si>
  <si>
    <t>Implementação da Tela Principal</t>
  </si>
  <si>
    <t>Implementação da Lista de relatos</t>
  </si>
  <si>
    <t>Implementação dos detalhes do relato</t>
  </si>
  <si>
    <t>Com a tela de login exibida não é possível voltar na splash screen</t>
  </si>
  <si>
    <t>Caso o usuário digite os dados de login inválidos é exibido uma mensagem do tipo toast informando o erro</t>
  </si>
  <si>
    <t>Após o usuário digitar credenciais inválidas por 3 vezes consecutivas a tela de login é bloqueada e ele deverá aguardar 30 segundos até o desbloqueio</t>
  </si>
  <si>
    <t>É possível realizar o login com credenciais válidas</t>
  </si>
  <si>
    <t>Após o decorrer 3 segundos de exibição da splash screen a tela de login é exibida automaticamente</t>
  </si>
  <si>
    <t>A navigation drawer foi implementada corretamente</t>
  </si>
  <si>
    <t>Os dados da navigation drawer são carregados de acordo com  o perfil do usuário logado</t>
  </si>
  <si>
    <t>Implementação do CRUD de relato</t>
  </si>
  <si>
    <t>Os relatos foram organizados da forma solicitada tanto com o dispositivo na vertical quanto na horizontal</t>
  </si>
  <si>
    <t>Os dados de identificação do relator são ocultados caso seja uma denúncia anônima</t>
  </si>
  <si>
    <t>Implementou a actionBar de forma correta com todos os elementos tanto na horizontal quanto na vertical</t>
  </si>
  <si>
    <t>Os dados do relato estão exibidos e organizados conforme solicitado tanto na vertical quanto na horizontal</t>
  </si>
  <si>
    <t>É possível realizar o cadastro de um relato com todos os dados  tanto na vertical quanto na horizontal</t>
  </si>
  <si>
    <t>É possível excluir um relato</t>
  </si>
  <si>
    <t>Ao acionar o menu de informação é exibido os dados conforme solicitado</t>
  </si>
  <si>
    <t>A splash screen foi implementada corretamento e em full screen</t>
  </si>
  <si>
    <t>Apenas os botões laterais funcionam</t>
  </si>
  <si>
    <t>É possível realizar a edição de um relato conforme solicitado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</si>
</sst>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9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2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0" fillId="0" borderId="0" xfId="0"/>
    <xf numFmtId="0" fontId="2" fillId="0" borderId="12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0" fillId="4" borderId="12" xfId="0" applyNumberFormat="1" applyFont="1" applyFill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0" fillId="4" borderId="13" xfId="0" applyNumberFormat="1" applyFont="1" applyFill="1" applyBorder="1"/>
    <xf numFmtId="0" fontId="0" fillId="4" borderId="14" xfId="0" applyNumberFormat="1" applyFont="1" applyFill="1" applyBorder="1"/>
    <xf numFmtId="0" fontId="9" fillId="0" borderId="7" xfId="0" applyFont="1" applyBorder="1" applyAlignment="1">
      <alignment horizontal="left" vertical="center"/>
    </xf>
    <xf numFmtId="0" fontId="0" fillId="4" borderId="7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1" topLeftCell="C1" workbookViewId="0">
      <selection activeCell="B24" sqref="B24:J24"/>
    </sheetView>
  </sheetViews>
  <sheetFormatPr defaultColWidth="8.85546875" defaultRowHeight="12.75" x14ac:dyDescent="0.2"/>
  <cols>
    <col min="1" max="1" width="7.7109375" customWidth="1"/>
    <col min="2" max="2" width="39" customWidth="1"/>
    <col min="3" max="3" width="7.85546875" customWidth="1"/>
    <col min="4" max="4" width="8.42578125" customWidth="1"/>
    <col min="5" max="5" width="52.140625" customWidth="1"/>
    <col min="6" max="6" width="8" customWidth="1"/>
    <col min="7" max="7" width="46.7109375" customWidth="1"/>
    <col min="8" max="8" width="15.42578125" customWidth="1"/>
    <col min="9" max="9" width="11.28515625" customWidth="1"/>
    <col min="10" max="10" width="11" customWidth="1"/>
    <col min="11" max="11" width="10.7109375" customWidth="1"/>
    <col min="12" max="12" width="18.42578125" customWidth="1"/>
    <col min="14" max="14" width="10.7109375" bestFit="1" customWidth="1"/>
  </cols>
  <sheetData>
    <row r="1" spans="1:11" ht="48.95" customHeight="1" thickBot="1" x14ac:dyDescent="0.25">
      <c r="A1" s="151" t="s">
        <v>44</v>
      </c>
      <c r="B1" s="152"/>
      <c r="C1" s="152"/>
      <c r="D1" s="152"/>
      <c r="E1" s="152"/>
      <c r="F1" s="152"/>
      <c r="G1" s="152"/>
      <c r="H1" s="152"/>
      <c r="I1" s="152"/>
      <c r="J1" s="152"/>
      <c r="K1" s="153"/>
    </row>
    <row r="2" spans="1:11" ht="36" customHeight="1" thickBot="1" x14ac:dyDescent="0.25">
      <c r="C2" s="2"/>
      <c r="E2" s="2"/>
      <c r="J2" s="2"/>
    </row>
    <row r="3" spans="1:11" ht="35.1" customHeight="1" thickBot="1" x14ac:dyDescent="0.25">
      <c r="A3" s="148" t="s">
        <v>13</v>
      </c>
      <c r="B3" s="149"/>
      <c r="C3" s="149"/>
      <c r="D3" s="149"/>
      <c r="E3" s="149"/>
      <c r="F3" s="149"/>
      <c r="G3" s="149"/>
      <c r="H3" s="149"/>
      <c r="I3" s="149"/>
      <c r="J3" s="149"/>
      <c r="K3" s="150"/>
    </row>
    <row r="4" spans="1:11" ht="35.1" customHeight="1" thickBot="1" x14ac:dyDescent="0.25">
      <c r="A4" s="11" t="s">
        <v>14</v>
      </c>
      <c r="B4" s="145" t="s">
        <v>16</v>
      </c>
      <c r="C4" s="146"/>
      <c r="D4" s="146"/>
      <c r="E4" s="146"/>
      <c r="F4" s="146"/>
      <c r="G4" s="146"/>
      <c r="H4" s="147"/>
      <c r="I4" s="12" t="s">
        <v>16</v>
      </c>
      <c r="J4" s="12" t="s">
        <v>17</v>
      </c>
      <c r="K4" s="12" t="s">
        <v>21</v>
      </c>
    </row>
    <row r="5" spans="1:11" ht="24.95" customHeight="1" x14ac:dyDescent="0.2">
      <c r="A5" s="17">
        <v>1</v>
      </c>
      <c r="B5" s="154"/>
      <c r="C5" s="155"/>
      <c r="D5" s="155"/>
      <c r="E5" s="155"/>
      <c r="F5" s="155"/>
      <c r="G5" s="155"/>
      <c r="H5" s="156"/>
      <c r="I5" s="19"/>
      <c r="J5" s="18">
        <f>SUMIF(I30:I97, A5, K30:K97)</f>
        <v>0</v>
      </c>
      <c r="K5" s="18">
        <f t="shared" ref="K5:K12" si="0">ABS(I5-J5)</f>
        <v>0</v>
      </c>
    </row>
    <row r="6" spans="1:11" ht="24.95" customHeight="1" x14ac:dyDescent="0.2">
      <c r="A6" s="17">
        <v>2</v>
      </c>
      <c r="B6" s="154"/>
      <c r="C6" s="155"/>
      <c r="D6" s="155"/>
      <c r="E6" s="155"/>
      <c r="F6" s="155"/>
      <c r="G6" s="155"/>
      <c r="H6" s="156"/>
      <c r="I6" s="19"/>
      <c r="J6" s="18">
        <f>SUMIF(I30:I97, A6, K30:K97)</f>
        <v>0</v>
      </c>
      <c r="K6" s="18">
        <f t="shared" si="0"/>
        <v>0</v>
      </c>
    </row>
    <row r="7" spans="1:11" ht="24.95" customHeight="1" x14ac:dyDescent="0.2">
      <c r="A7" s="17">
        <v>3</v>
      </c>
      <c r="B7" s="154"/>
      <c r="C7" s="155"/>
      <c r="D7" s="155"/>
      <c r="E7" s="155"/>
      <c r="F7" s="155"/>
      <c r="G7" s="155"/>
      <c r="H7" s="156"/>
      <c r="I7" s="19"/>
      <c r="J7" s="18">
        <f>SUMIF(I30:I97, A7, K30:K97)</f>
        <v>0</v>
      </c>
      <c r="K7" s="18">
        <f t="shared" si="0"/>
        <v>0</v>
      </c>
    </row>
    <row r="8" spans="1:11" ht="24.95" customHeight="1" x14ac:dyDescent="0.2">
      <c r="A8" s="17">
        <v>4</v>
      </c>
      <c r="B8" s="154"/>
      <c r="C8" s="155"/>
      <c r="D8" s="155"/>
      <c r="E8" s="155"/>
      <c r="F8" s="155"/>
      <c r="G8" s="155"/>
      <c r="H8" s="156"/>
      <c r="I8" s="19"/>
      <c r="J8" s="18">
        <f>SUMIF(I30:I97, A8, K30:K97)</f>
        <v>0</v>
      </c>
      <c r="K8" s="18">
        <f t="shared" si="0"/>
        <v>0</v>
      </c>
    </row>
    <row r="9" spans="1:11" ht="24.95" customHeight="1" x14ac:dyDescent="0.2">
      <c r="A9" s="17">
        <v>5</v>
      </c>
      <c r="B9" s="154"/>
      <c r="C9" s="155"/>
      <c r="D9" s="155"/>
      <c r="E9" s="155"/>
      <c r="F9" s="155"/>
      <c r="G9" s="155"/>
      <c r="H9" s="156"/>
      <c r="I9" s="19"/>
      <c r="J9" s="18">
        <f>SUMIF(I28:I95, A9, K28:K95)</f>
        <v>0</v>
      </c>
      <c r="K9" s="18">
        <f t="shared" ref="K9:K10" si="1">ABS(I9-J9)</f>
        <v>0</v>
      </c>
    </row>
    <row r="10" spans="1:11" ht="24.95" customHeight="1" x14ac:dyDescent="0.2">
      <c r="A10" s="137">
        <v>6</v>
      </c>
      <c r="B10" s="162" t="s">
        <v>47</v>
      </c>
      <c r="C10" s="163"/>
      <c r="D10" s="163"/>
      <c r="E10" s="163"/>
      <c r="F10" s="163"/>
      <c r="G10" s="163"/>
      <c r="H10" s="163"/>
      <c r="I10" s="138">
        <v>15.83</v>
      </c>
      <c r="J10" s="138">
        <f>SUMIF(I28:I95, A10, K28:K95)</f>
        <v>15.83</v>
      </c>
      <c r="K10" s="138">
        <f t="shared" si="1"/>
        <v>0</v>
      </c>
    </row>
    <row r="11" spans="1:11" ht="24.95" customHeight="1" x14ac:dyDescent="0.2">
      <c r="A11" s="17">
        <v>7</v>
      </c>
      <c r="B11" s="154"/>
      <c r="C11" s="155"/>
      <c r="D11" s="155"/>
      <c r="E11" s="155"/>
      <c r="F11" s="155"/>
      <c r="G11" s="155"/>
      <c r="H11" s="156"/>
      <c r="I11" s="19"/>
      <c r="J11" s="18">
        <f>SUMIF(I30:I97, A11, K30:K97)</f>
        <v>0</v>
      </c>
      <c r="K11" s="18">
        <f t="shared" si="0"/>
        <v>0</v>
      </c>
    </row>
    <row r="12" spans="1:11" ht="24.95" customHeight="1" x14ac:dyDescent="0.2">
      <c r="A12" s="21">
        <v>8</v>
      </c>
      <c r="B12" s="159"/>
      <c r="C12" s="160"/>
      <c r="D12" s="160"/>
      <c r="E12" s="160"/>
      <c r="F12" s="160"/>
      <c r="G12" s="160"/>
      <c r="H12" s="161"/>
      <c r="I12" s="22"/>
      <c r="J12" s="22">
        <f>SUMIF(I30:I97, A12, K30:K97)</f>
        <v>0</v>
      </c>
      <c r="K12" s="22">
        <f t="shared" si="0"/>
        <v>0</v>
      </c>
    </row>
    <row r="13" spans="1:11" ht="24.95" customHeight="1" thickBot="1" x14ac:dyDescent="0.25">
      <c r="C13" s="10"/>
      <c r="E13" s="10"/>
      <c r="I13" s="157" t="s">
        <v>23</v>
      </c>
      <c r="J13" s="158"/>
      <c r="K13" s="22">
        <f>SUM(K5:K12)</f>
        <v>0</v>
      </c>
    </row>
    <row r="14" spans="1:11" x14ac:dyDescent="0.2">
      <c r="C14" s="10"/>
      <c r="E14" s="10"/>
      <c r="I14" s="14"/>
      <c r="J14" s="14"/>
      <c r="K14" s="15"/>
    </row>
    <row r="15" spans="1:11" ht="13.5" thickBot="1" x14ac:dyDescent="0.25">
      <c r="C15" s="10"/>
      <c r="E15" s="10"/>
      <c r="I15" s="13"/>
      <c r="J15" s="10"/>
    </row>
    <row r="16" spans="1:11" ht="35.1" customHeight="1" thickBot="1" x14ac:dyDescent="0.25">
      <c r="A16" s="148" t="s">
        <v>20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50"/>
    </row>
    <row r="17" spans="1:14" ht="35.1" customHeight="1" thickBot="1" x14ac:dyDescent="0.25">
      <c r="A17" s="11" t="s">
        <v>22</v>
      </c>
      <c r="B17" s="164" t="s">
        <v>15</v>
      </c>
      <c r="C17" s="165"/>
      <c r="D17" s="165"/>
      <c r="E17" s="165"/>
      <c r="F17" s="165"/>
      <c r="G17" s="165"/>
      <c r="H17" s="165"/>
      <c r="I17" s="165"/>
      <c r="J17" s="166"/>
      <c r="K17" s="11" t="s">
        <v>0</v>
      </c>
    </row>
    <row r="18" spans="1:14" ht="24.95" customHeight="1" x14ac:dyDescent="0.2">
      <c r="A18" s="17" t="s">
        <v>24</v>
      </c>
      <c r="B18" s="154" t="s">
        <v>45</v>
      </c>
      <c r="C18" s="155"/>
      <c r="D18" s="155"/>
      <c r="E18" s="155"/>
      <c r="F18" s="155"/>
      <c r="G18" s="155"/>
      <c r="H18" s="155"/>
      <c r="I18" s="155"/>
      <c r="J18" s="156"/>
      <c r="K18" s="19">
        <v>12.5</v>
      </c>
    </row>
    <row r="19" spans="1:14" ht="24.95" customHeight="1" x14ac:dyDescent="0.2">
      <c r="A19" s="17" t="s">
        <v>25</v>
      </c>
      <c r="B19" s="154" t="s">
        <v>46</v>
      </c>
      <c r="C19" s="155"/>
      <c r="D19" s="155"/>
      <c r="E19" s="155"/>
      <c r="F19" s="155"/>
      <c r="G19" s="155"/>
      <c r="H19" s="155"/>
      <c r="I19" s="155"/>
      <c r="J19" s="156"/>
      <c r="K19" s="19">
        <v>3.33</v>
      </c>
    </row>
    <row r="20" spans="1:14" ht="24.95" customHeight="1" x14ac:dyDescent="0.2">
      <c r="A20" s="17" t="s">
        <v>26</v>
      </c>
      <c r="B20" s="154"/>
      <c r="C20" s="155"/>
      <c r="D20" s="155"/>
      <c r="E20" s="155"/>
      <c r="F20" s="155"/>
      <c r="G20" s="155"/>
      <c r="H20" s="155"/>
      <c r="I20" s="155"/>
      <c r="J20" s="156"/>
      <c r="K20" s="19"/>
    </row>
    <row r="21" spans="1:14" ht="24.95" customHeight="1" x14ac:dyDescent="0.2">
      <c r="A21" s="17" t="s">
        <v>27</v>
      </c>
      <c r="B21" s="154"/>
      <c r="C21" s="155"/>
      <c r="D21" s="155"/>
      <c r="E21" s="155"/>
      <c r="F21" s="155"/>
      <c r="G21" s="155"/>
      <c r="H21" s="155"/>
      <c r="I21" s="155"/>
      <c r="J21" s="156"/>
      <c r="K21" s="19"/>
    </row>
    <row r="22" spans="1:14" ht="24.95" customHeight="1" x14ac:dyDescent="0.2">
      <c r="A22" s="17" t="s">
        <v>28</v>
      </c>
      <c r="B22" s="154"/>
      <c r="C22" s="155"/>
      <c r="D22" s="155"/>
      <c r="E22" s="155"/>
      <c r="F22" s="155"/>
      <c r="G22" s="155"/>
      <c r="H22" s="155"/>
      <c r="I22" s="155"/>
      <c r="J22" s="156"/>
      <c r="K22" s="19"/>
    </row>
    <row r="23" spans="1:14" ht="24.95" customHeight="1" x14ac:dyDescent="0.2">
      <c r="A23" s="17" t="s">
        <v>29</v>
      </c>
      <c r="B23" s="154"/>
      <c r="C23" s="155"/>
      <c r="D23" s="155"/>
      <c r="E23" s="155"/>
      <c r="F23" s="155"/>
      <c r="G23" s="155"/>
      <c r="H23" s="155"/>
      <c r="I23" s="155"/>
      <c r="J23" s="156"/>
      <c r="K23" s="19"/>
    </row>
    <row r="24" spans="1:14" ht="24.95" customHeight="1" x14ac:dyDescent="0.2">
      <c r="A24" s="17" t="s">
        <v>30</v>
      </c>
      <c r="B24" s="154"/>
      <c r="C24" s="155"/>
      <c r="D24" s="155"/>
      <c r="E24" s="155"/>
      <c r="F24" s="155"/>
      <c r="G24" s="155"/>
      <c r="H24" s="155"/>
      <c r="I24" s="155"/>
      <c r="J24" s="156"/>
      <c r="K24" s="19"/>
    </row>
    <row r="25" spans="1:14" ht="24.95" customHeight="1" x14ac:dyDescent="0.2">
      <c r="A25" s="17" t="s">
        <v>31</v>
      </c>
      <c r="B25" s="154"/>
      <c r="C25" s="155"/>
      <c r="D25" s="155"/>
      <c r="E25" s="155"/>
      <c r="F25" s="155"/>
      <c r="G25" s="155"/>
      <c r="H25" s="155"/>
      <c r="I25" s="155"/>
      <c r="J25" s="156"/>
      <c r="K25" s="19"/>
    </row>
    <row r="26" spans="1:14" ht="24.95" customHeight="1" x14ac:dyDescent="0.2">
      <c r="A26" s="21" t="s">
        <v>32</v>
      </c>
      <c r="B26" s="159"/>
      <c r="C26" s="160"/>
      <c r="D26" s="160"/>
      <c r="E26" s="160"/>
      <c r="F26" s="160"/>
      <c r="G26" s="160"/>
      <c r="H26" s="160"/>
      <c r="I26" s="160"/>
      <c r="J26" s="161"/>
      <c r="K26" s="22"/>
    </row>
    <row r="27" spans="1:14" x14ac:dyDescent="0.2">
      <c r="F27" s="8"/>
      <c r="G27" s="9"/>
      <c r="H27" s="9"/>
      <c r="I27" s="9"/>
      <c r="J27" s="3"/>
    </row>
    <row r="28" spans="1:14" ht="13.5" thickBot="1" x14ac:dyDescent="0.25">
      <c r="C28" s="3"/>
      <c r="H28" s="3"/>
      <c r="I28" s="3"/>
      <c r="J28" s="3"/>
    </row>
    <row r="29" spans="1:14" ht="64.5" thickBot="1" x14ac:dyDescent="0.25">
      <c r="A29" s="4" t="s">
        <v>18</v>
      </c>
      <c r="B29" s="4" t="s">
        <v>19</v>
      </c>
      <c r="C29" s="4" t="s">
        <v>11</v>
      </c>
      <c r="D29" s="4" t="s">
        <v>7</v>
      </c>
      <c r="E29" s="4" t="s">
        <v>1</v>
      </c>
      <c r="F29" s="4" t="s">
        <v>2</v>
      </c>
      <c r="G29" s="4" t="s">
        <v>9</v>
      </c>
      <c r="H29" s="4" t="s">
        <v>10</v>
      </c>
      <c r="I29" s="4" t="s">
        <v>3</v>
      </c>
      <c r="J29" s="4" t="s">
        <v>12</v>
      </c>
      <c r="K29" s="4" t="s">
        <v>4</v>
      </c>
      <c r="L29" s="5" t="s">
        <v>8</v>
      </c>
      <c r="M29" s="6" t="s">
        <v>5</v>
      </c>
      <c r="N29" s="7">
        <f>SUM(K30:K53)</f>
        <v>12.499999999999998</v>
      </c>
    </row>
    <row r="30" spans="1:14" x14ac:dyDescent="0.2">
      <c r="A30" s="17" t="s">
        <v>48</v>
      </c>
      <c r="B30" s="16" t="s">
        <v>76</v>
      </c>
      <c r="C30" s="17"/>
      <c r="D30" s="17"/>
      <c r="E30" s="16"/>
      <c r="F30" s="16"/>
      <c r="G30" s="16"/>
      <c r="H30" s="16"/>
      <c r="I30" s="17"/>
      <c r="J30" s="16"/>
      <c r="K30" s="16"/>
    </row>
    <row r="31" spans="1:14" s="143" customFormat="1" x14ac:dyDescent="0.2">
      <c r="A31" s="17"/>
      <c r="B31" s="135"/>
      <c r="C31" s="17"/>
      <c r="D31" s="17" t="s">
        <v>74</v>
      </c>
      <c r="E31" s="135" t="s">
        <v>96</v>
      </c>
      <c r="F31" s="135"/>
      <c r="G31" s="135"/>
      <c r="H31" s="135"/>
      <c r="I31" s="17">
        <v>6</v>
      </c>
      <c r="J31" s="135"/>
      <c r="K31" s="136">
        <v>0.8</v>
      </c>
    </row>
    <row r="32" spans="1:14" s="143" customFormat="1" x14ac:dyDescent="0.2">
      <c r="A32" s="17"/>
      <c r="B32" s="135"/>
      <c r="C32" s="17"/>
      <c r="D32" s="17" t="s">
        <v>74</v>
      </c>
      <c r="E32" s="135" t="s">
        <v>85</v>
      </c>
      <c r="F32" s="135"/>
      <c r="G32" s="135"/>
      <c r="H32" s="135"/>
      <c r="I32" s="17">
        <v>6</v>
      </c>
      <c r="J32" s="135"/>
      <c r="K32" s="136">
        <v>0.7</v>
      </c>
    </row>
    <row r="33" spans="1:11" s="143" customFormat="1" x14ac:dyDescent="0.2">
      <c r="A33" s="17"/>
      <c r="B33" s="135"/>
      <c r="C33" s="17"/>
      <c r="D33" s="17" t="s">
        <v>74</v>
      </c>
      <c r="E33" s="135" t="s">
        <v>81</v>
      </c>
      <c r="F33" s="135"/>
      <c r="G33" s="135"/>
      <c r="H33" s="135"/>
      <c r="I33" s="17">
        <v>6</v>
      </c>
      <c r="J33" s="135"/>
      <c r="K33" s="136">
        <v>0.5</v>
      </c>
    </row>
    <row r="34" spans="1:11" x14ac:dyDescent="0.2">
      <c r="A34" s="17" t="s">
        <v>49</v>
      </c>
      <c r="B34" s="16" t="s">
        <v>77</v>
      </c>
      <c r="C34" s="17"/>
      <c r="D34" s="17"/>
      <c r="E34" s="16"/>
      <c r="F34" s="17"/>
      <c r="G34" s="16"/>
      <c r="H34" s="16"/>
      <c r="I34" s="17"/>
      <c r="J34" s="17"/>
      <c r="K34" s="19"/>
    </row>
    <row r="35" spans="1:11" s="143" customFormat="1" x14ac:dyDescent="0.2">
      <c r="A35" s="17"/>
      <c r="B35" s="135"/>
      <c r="C35" s="17"/>
      <c r="D35" s="17" t="s">
        <v>74</v>
      </c>
      <c r="E35" s="135" t="s">
        <v>82</v>
      </c>
      <c r="F35" s="17"/>
      <c r="G35" s="135"/>
      <c r="H35" s="135"/>
      <c r="I35" s="17">
        <v>6</v>
      </c>
      <c r="J35" s="17"/>
      <c r="K35" s="136">
        <v>0.7</v>
      </c>
    </row>
    <row r="36" spans="1:11" s="143" customFormat="1" x14ac:dyDescent="0.2">
      <c r="A36" s="17"/>
      <c r="B36" s="135"/>
      <c r="C36" s="17"/>
      <c r="D36" s="17" t="s">
        <v>74</v>
      </c>
      <c r="E36" s="135" t="s">
        <v>83</v>
      </c>
      <c r="F36" s="17"/>
      <c r="G36" s="135"/>
      <c r="H36" s="135"/>
      <c r="I36" s="17">
        <v>6</v>
      </c>
      <c r="J36" s="17"/>
      <c r="K36" s="136">
        <v>0.8</v>
      </c>
    </row>
    <row r="37" spans="1:11" s="143" customFormat="1" x14ac:dyDescent="0.2">
      <c r="A37" s="17"/>
      <c r="B37" s="135"/>
      <c r="C37" s="17"/>
      <c r="D37" s="17" t="s">
        <v>74</v>
      </c>
      <c r="E37" s="135" t="s">
        <v>84</v>
      </c>
      <c r="F37" s="17"/>
      <c r="G37" s="135"/>
      <c r="H37" s="135"/>
      <c r="I37" s="17">
        <v>6</v>
      </c>
      <c r="J37" s="17"/>
      <c r="K37" s="136">
        <v>0.8</v>
      </c>
    </row>
    <row r="38" spans="1:11" x14ac:dyDescent="0.2">
      <c r="A38" s="17" t="s">
        <v>50</v>
      </c>
      <c r="B38" s="16" t="s">
        <v>78</v>
      </c>
      <c r="C38" s="17"/>
      <c r="D38" s="17"/>
      <c r="E38" s="16"/>
      <c r="F38" s="17"/>
      <c r="G38" s="16"/>
      <c r="H38" s="16"/>
      <c r="I38" s="17"/>
      <c r="J38" s="17"/>
      <c r="K38" s="19"/>
    </row>
    <row r="39" spans="1:11" s="143" customFormat="1" x14ac:dyDescent="0.2">
      <c r="A39" s="17"/>
      <c r="B39" s="135"/>
      <c r="C39" s="17"/>
      <c r="D39" s="17" t="s">
        <v>74</v>
      </c>
      <c r="E39" s="135" t="s">
        <v>86</v>
      </c>
      <c r="F39" s="17"/>
      <c r="G39" s="135"/>
      <c r="H39" s="135"/>
      <c r="I39" s="17">
        <v>6</v>
      </c>
      <c r="J39" s="17"/>
      <c r="K39" s="136">
        <v>0.8</v>
      </c>
    </row>
    <row r="40" spans="1:11" s="143" customFormat="1" x14ac:dyDescent="0.2">
      <c r="A40" s="17"/>
      <c r="B40" s="135"/>
      <c r="C40" s="17"/>
      <c r="D40" s="17" t="s">
        <v>74</v>
      </c>
      <c r="E40" s="135" t="s">
        <v>87</v>
      </c>
      <c r="F40" s="17"/>
      <c r="G40" s="135"/>
      <c r="H40" s="135"/>
      <c r="I40" s="17">
        <v>6</v>
      </c>
      <c r="J40" s="17"/>
      <c r="K40" s="136">
        <v>0.8</v>
      </c>
    </row>
    <row r="41" spans="1:11" s="143" customFormat="1" x14ac:dyDescent="0.2">
      <c r="A41" s="17"/>
      <c r="B41" s="135"/>
      <c r="C41" s="17"/>
      <c r="D41" s="17" t="s">
        <v>74</v>
      </c>
      <c r="E41" s="135" t="s">
        <v>95</v>
      </c>
      <c r="F41" s="17"/>
      <c r="G41" s="135"/>
      <c r="H41" s="135"/>
      <c r="I41" s="17">
        <v>6</v>
      </c>
      <c r="J41" s="17"/>
      <c r="K41" s="136">
        <v>0.5</v>
      </c>
    </row>
    <row r="42" spans="1:11" x14ac:dyDescent="0.2">
      <c r="A42" s="17" t="s">
        <v>51</v>
      </c>
      <c r="B42" s="16" t="s">
        <v>79</v>
      </c>
      <c r="C42" s="17"/>
      <c r="D42" s="17" t="s">
        <v>33</v>
      </c>
      <c r="E42" s="16" t="s">
        <v>33</v>
      </c>
      <c r="F42" s="17" t="s">
        <v>33</v>
      </c>
      <c r="G42" s="16" t="s">
        <v>33</v>
      </c>
      <c r="H42" s="16" t="s">
        <v>33</v>
      </c>
      <c r="I42" s="17"/>
      <c r="J42" s="17"/>
      <c r="K42" s="19"/>
    </row>
    <row r="43" spans="1:11" s="139" customFormat="1" x14ac:dyDescent="0.2">
      <c r="A43" s="17" t="s">
        <v>54</v>
      </c>
      <c r="B43" s="135"/>
      <c r="C43" s="17"/>
      <c r="D43" s="17" t="s">
        <v>74</v>
      </c>
      <c r="E43" s="135" t="s">
        <v>89</v>
      </c>
      <c r="F43" s="17"/>
      <c r="G43" s="135"/>
      <c r="H43" s="135"/>
      <c r="I43" s="17">
        <v>6</v>
      </c>
      <c r="J43" s="17"/>
      <c r="K43" s="136">
        <v>0.8</v>
      </c>
    </row>
    <row r="44" spans="1:11" s="143" customFormat="1" x14ac:dyDescent="0.2">
      <c r="A44" s="17"/>
      <c r="B44" s="135"/>
      <c r="C44" s="17"/>
      <c r="D44" s="17" t="s">
        <v>74</v>
      </c>
      <c r="E44" s="135" t="s">
        <v>90</v>
      </c>
      <c r="F44" s="17"/>
      <c r="G44" s="135"/>
      <c r="H44" s="135"/>
      <c r="I44" s="17">
        <v>6</v>
      </c>
      <c r="J44" s="17"/>
      <c r="K44" s="136">
        <v>0.8</v>
      </c>
    </row>
    <row r="45" spans="1:11" s="139" customFormat="1" x14ac:dyDescent="0.2">
      <c r="A45" s="17" t="s">
        <v>52</v>
      </c>
      <c r="B45" s="135" t="s">
        <v>80</v>
      </c>
      <c r="C45" s="17"/>
      <c r="D45" s="17"/>
      <c r="E45" s="135"/>
      <c r="F45" s="17"/>
      <c r="G45" s="135"/>
      <c r="H45" s="135"/>
      <c r="I45" s="17"/>
      <c r="J45" s="17"/>
      <c r="K45" s="136"/>
    </row>
    <row r="46" spans="1:11" s="143" customFormat="1" x14ac:dyDescent="0.2">
      <c r="A46" s="17"/>
      <c r="B46" s="135"/>
      <c r="C46" s="17"/>
      <c r="D46" s="17" t="s">
        <v>74</v>
      </c>
      <c r="E46" s="135" t="s">
        <v>91</v>
      </c>
      <c r="F46" s="17"/>
      <c r="G46" s="135"/>
      <c r="H46" s="135"/>
      <c r="I46" s="17">
        <v>6</v>
      </c>
      <c r="J46" s="17"/>
      <c r="K46" s="136">
        <v>0.8</v>
      </c>
    </row>
    <row r="47" spans="1:11" s="143" customFormat="1" x14ac:dyDescent="0.2">
      <c r="A47" s="17"/>
      <c r="B47" s="135"/>
      <c r="C47" s="17"/>
      <c r="D47" s="17" t="s">
        <v>74</v>
      </c>
      <c r="E47" s="135" t="s">
        <v>92</v>
      </c>
      <c r="F47" s="17"/>
      <c r="G47" s="135"/>
      <c r="H47" s="135"/>
      <c r="I47" s="17">
        <v>6</v>
      </c>
      <c r="J47" s="17"/>
      <c r="K47" s="136">
        <v>0.7</v>
      </c>
    </row>
    <row r="48" spans="1:11" s="139" customFormat="1" x14ac:dyDescent="0.2">
      <c r="A48" s="17" t="s">
        <v>53</v>
      </c>
      <c r="B48" s="135" t="s">
        <v>88</v>
      </c>
      <c r="C48" s="17"/>
      <c r="D48" s="17"/>
      <c r="E48" s="135"/>
      <c r="F48" s="17"/>
      <c r="G48" s="135"/>
      <c r="H48" s="135"/>
      <c r="I48" s="17"/>
      <c r="J48" s="17"/>
      <c r="K48" s="136"/>
    </row>
    <row r="49" spans="1:14" s="139" customFormat="1" x14ac:dyDescent="0.2">
      <c r="A49" s="17"/>
      <c r="B49" s="135"/>
      <c r="C49" s="17"/>
      <c r="D49" s="17" t="s">
        <v>74</v>
      </c>
      <c r="E49" s="135" t="s">
        <v>93</v>
      </c>
      <c r="F49" s="17"/>
      <c r="G49" s="135"/>
      <c r="H49" s="135"/>
      <c r="I49" s="17">
        <v>6</v>
      </c>
      <c r="J49" s="17"/>
      <c r="K49" s="136">
        <v>1</v>
      </c>
    </row>
    <row r="50" spans="1:14" s="143" customFormat="1" x14ac:dyDescent="0.2">
      <c r="A50" s="17"/>
      <c r="B50" s="135"/>
      <c r="C50" s="17"/>
      <c r="D50" s="17" t="s">
        <v>74</v>
      </c>
      <c r="E50" s="135" t="s">
        <v>98</v>
      </c>
      <c r="F50" s="17"/>
      <c r="G50" s="135"/>
      <c r="H50" s="135"/>
      <c r="I50" s="17">
        <v>6</v>
      </c>
      <c r="J50" s="17"/>
      <c r="K50" s="136">
        <v>1</v>
      </c>
    </row>
    <row r="51" spans="1:14" s="139" customFormat="1" x14ac:dyDescent="0.2">
      <c r="A51" s="17"/>
      <c r="B51" s="135"/>
      <c r="C51" s="17"/>
      <c r="D51" s="17" t="s">
        <v>74</v>
      </c>
      <c r="E51" s="135" t="s">
        <v>94</v>
      </c>
      <c r="F51" s="17"/>
      <c r="G51" s="135"/>
      <c r="H51" s="135"/>
      <c r="I51" s="17">
        <v>6</v>
      </c>
      <c r="J51" s="17"/>
      <c r="K51" s="136">
        <v>1</v>
      </c>
    </row>
    <row r="52" spans="1:14" s="143" customFormat="1" x14ac:dyDescent="0.2">
      <c r="A52" s="17"/>
      <c r="B52" s="135"/>
      <c r="C52" s="17"/>
      <c r="D52" s="17"/>
      <c r="E52" s="135"/>
      <c r="F52" s="17"/>
      <c r="G52" s="135"/>
      <c r="H52" s="135"/>
      <c r="I52" s="17"/>
      <c r="J52" s="17"/>
      <c r="K52" s="136"/>
    </row>
    <row r="53" spans="1:14" ht="13.5" thickBot="1" x14ac:dyDescent="0.25">
      <c r="A53" s="17" t="s">
        <v>33</v>
      </c>
      <c r="B53" s="16" t="s">
        <v>33</v>
      </c>
      <c r="C53" s="17" t="s">
        <v>33</v>
      </c>
      <c r="D53" s="17" t="s">
        <v>33</v>
      </c>
      <c r="E53" s="16" t="s">
        <v>33</v>
      </c>
      <c r="F53" s="17" t="s">
        <v>33</v>
      </c>
      <c r="G53" s="16" t="s">
        <v>33</v>
      </c>
      <c r="H53" s="16" t="s">
        <v>33</v>
      </c>
      <c r="I53" s="17"/>
      <c r="J53" s="17"/>
      <c r="K53" s="19"/>
    </row>
    <row r="54" spans="1:14" ht="64.5" thickBot="1" x14ac:dyDescent="0.25">
      <c r="A54" s="23" t="s">
        <v>18</v>
      </c>
      <c r="B54" s="24" t="s">
        <v>19</v>
      </c>
      <c r="C54" s="25" t="s">
        <v>11</v>
      </c>
      <c r="D54" s="26" t="s">
        <v>7</v>
      </c>
      <c r="E54" s="27" t="s">
        <v>1</v>
      </c>
      <c r="F54" s="28" t="s">
        <v>2</v>
      </c>
      <c r="G54" s="29" t="s">
        <v>9</v>
      </c>
      <c r="H54" s="30" t="s">
        <v>10</v>
      </c>
      <c r="I54" s="31" t="s">
        <v>3</v>
      </c>
      <c r="J54" s="32" t="s">
        <v>12</v>
      </c>
      <c r="K54" s="33" t="s">
        <v>4</v>
      </c>
      <c r="L54" s="34" t="s">
        <v>36</v>
      </c>
      <c r="M54" s="35" t="s">
        <v>5</v>
      </c>
      <c r="N54" s="36">
        <f>SUM(K55:K74)</f>
        <v>3.3300000000000005</v>
      </c>
    </row>
    <row r="55" spans="1:14" x14ac:dyDescent="0.2">
      <c r="A55" s="144" t="s">
        <v>55</v>
      </c>
      <c r="B55" s="142" t="s">
        <v>69</v>
      </c>
      <c r="C55" s="142" t="s">
        <v>33</v>
      </c>
      <c r="D55" s="142" t="s">
        <v>33</v>
      </c>
      <c r="E55" s="142" t="s">
        <v>33</v>
      </c>
      <c r="F55" s="142" t="s">
        <v>33</v>
      </c>
      <c r="G55" s="135"/>
      <c r="H55" s="135"/>
      <c r="I55" s="17"/>
      <c r="J55" s="17"/>
      <c r="K55" s="136"/>
    </row>
    <row r="56" spans="1:14" x14ac:dyDescent="0.2">
      <c r="A56" s="141" t="s">
        <v>33</v>
      </c>
      <c r="B56" s="142" t="s">
        <v>33</v>
      </c>
      <c r="C56" s="142"/>
      <c r="D56" s="141" t="s">
        <v>57</v>
      </c>
      <c r="E56" s="142" t="s">
        <v>70</v>
      </c>
      <c r="F56" s="141" t="s">
        <v>33</v>
      </c>
      <c r="G56" s="142" t="s">
        <v>33</v>
      </c>
      <c r="H56" s="135"/>
      <c r="I56" s="17">
        <v>6</v>
      </c>
      <c r="J56" s="17"/>
      <c r="K56" s="136">
        <v>0.8</v>
      </c>
    </row>
    <row r="57" spans="1:14" x14ac:dyDescent="0.2">
      <c r="A57" s="141" t="s">
        <v>33</v>
      </c>
      <c r="B57" s="142" t="s">
        <v>33</v>
      </c>
      <c r="C57" s="142"/>
      <c r="D57" s="141" t="s">
        <v>33</v>
      </c>
      <c r="E57" s="142"/>
      <c r="F57" s="141">
        <v>0</v>
      </c>
      <c r="G57" s="142" t="s">
        <v>58</v>
      </c>
      <c r="H57" s="135"/>
      <c r="I57" s="17"/>
      <c r="J57" s="17"/>
      <c r="K57" s="136"/>
    </row>
    <row r="58" spans="1:14" x14ac:dyDescent="0.2">
      <c r="A58" s="141" t="s">
        <v>33</v>
      </c>
      <c r="B58" s="142" t="s">
        <v>33</v>
      </c>
      <c r="C58" s="142"/>
      <c r="D58" s="141" t="s">
        <v>33</v>
      </c>
      <c r="E58" s="142"/>
      <c r="F58" s="141">
        <v>1</v>
      </c>
      <c r="G58" s="142" t="s">
        <v>59</v>
      </c>
      <c r="H58" s="135"/>
      <c r="I58" s="17"/>
      <c r="J58" s="17"/>
      <c r="K58" s="136"/>
    </row>
    <row r="59" spans="1:14" x14ac:dyDescent="0.2">
      <c r="A59" s="141" t="s">
        <v>33</v>
      </c>
      <c r="B59" s="142" t="s">
        <v>33</v>
      </c>
      <c r="C59" s="142"/>
      <c r="D59" s="141" t="s">
        <v>33</v>
      </c>
      <c r="E59" s="142"/>
      <c r="F59" s="141">
        <v>2</v>
      </c>
      <c r="G59" s="142" t="s">
        <v>60</v>
      </c>
      <c r="H59" s="135"/>
      <c r="I59" s="17"/>
      <c r="J59" s="17"/>
      <c r="K59" s="136"/>
    </row>
    <row r="60" spans="1:14" s="140" customFormat="1" x14ac:dyDescent="0.2">
      <c r="A60" s="141" t="s">
        <v>33</v>
      </c>
      <c r="B60" s="142" t="s">
        <v>33</v>
      </c>
      <c r="C60" s="142"/>
      <c r="D60" s="141" t="s">
        <v>33</v>
      </c>
      <c r="E60" s="142"/>
      <c r="F60" s="141">
        <v>3</v>
      </c>
      <c r="G60" s="142" t="s">
        <v>61</v>
      </c>
      <c r="H60" s="135"/>
      <c r="I60" s="17"/>
      <c r="J60" s="17"/>
      <c r="K60" s="136"/>
    </row>
    <row r="61" spans="1:14" s="140" customFormat="1" x14ac:dyDescent="0.2">
      <c r="A61" s="141" t="s">
        <v>33</v>
      </c>
      <c r="B61" s="142" t="s">
        <v>33</v>
      </c>
      <c r="C61" s="142"/>
      <c r="D61" s="141" t="s">
        <v>57</v>
      </c>
      <c r="E61" s="142" t="s">
        <v>71</v>
      </c>
      <c r="F61" s="141" t="s">
        <v>33</v>
      </c>
      <c r="G61" s="142"/>
      <c r="H61" s="135"/>
      <c r="I61" s="17">
        <v>6</v>
      </c>
      <c r="J61" s="17"/>
      <c r="K61" s="136">
        <v>0.8</v>
      </c>
    </row>
    <row r="62" spans="1:14" s="140" customFormat="1" x14ac:dyDescent="0.2">
      <c r="A62" s="141" t="s">
        <v>33</v>
      </c>
      <c r="B62" s="142" t="s">
        <v>33</v>
      </c>
      <c r="C62" s="142"/>
      <c r="D62" s="141" t="s">
        <v>33</v>
      </c>
      <c r="E62" s="142"/>
      <c r="F62" s="141">
        <v>0</v>
      </c>
      <c r="G62" s="142" t="s">
        <v>62</v>
      </c>
      <c r="H62" s="135"/>
      <c r="I62" s="17"/>
      <c r="J62" s="17"/>
      <c r="K62" s="136"/>
    </row>
    <row r="63" spans="1:14" s="140" customFormat="1" x14ac:dyDescent="0.2">
      <c r="A63" s="141" t="s">
        <v>33</v>
      </c>
      <c r="B63" s="142" t="s">
        <v>33</v>
      </c>
      <c r="C63" s="142"/>
      <c r="D63" s="141" t="s">
        <v>33</v>
      </c>
      <c r="E63" s="142"/>
      <c r="F63" s="141">
        <v>1</v>
      </c>
      <c r="G63" s="142" t="s">
        <v>63</v>
      </c>
      <c r="H63" s="135"/>
      <c r="I63" s="17"/>
      <c r="J63" s="17"/>
      <c r="K63" s="136"/>
    </row>
    <row r="64" spans="1:14" s="140" customFormat="1" x14ac:dyDescent="0.2">
      <c r="A64" s="141" t="s">
        <v>33</v>
      </c>
      <c r="B64" s="142" t="s">
        <v>33</v>
      </c>
      <c r="C64" s="142"/>
      <c r="D64" s="141" t="s">
        <v>33</v>
      </c>
      <c r="E64" s="142"/>
      <c r="F64" s="141">
        <v>2</v>
      </c>
      <c r="G64" s="142" t="s">
        <v>64</v>
      </c>
      <c r="H64" s="135"/>
      <c r="I64" s="17"/>
      <c r="J64" s="17"/>
      <c r="K64" s="136"/>
    </row>
    <row r="65" spans="1:14" s="140" customFormat="1" x14ac:dyDescent="0.2">
      <c r="A65" s="141" t="s">
        <v>33</v>
      </c>
      <c r="B65" s="142" t="s">
        <v>33</v>
      </c>
      <c r="C65" s="142"/>
      <c r="D65" s="141" t="s">
        <v>33</v>
      </c>
      <c r="E65" s="142"/>
      <c r="F65" s="141">
        <v>3</v>
      </c>
      <c r="G65" s="142" t="s">
        <v>65</v>
      </c>
      <c r="H65" s="135"/>
      <c r="I65" s="17"/>
      <c r="J65" s="17"/>
      <c r="K65" s="136"/>
    </row>
    <row r="66" spans="1:14" s="140" customFormat="1" x14ac:dyDescent="0.2">
      <c r="A66" s="141" t="s">
        <v>33</v>
      </c>
      <c r="B66" s="142" t="s">
        <v>33</v>
      </c>
      <c r="C66" s="142"/>
      <c r="D66" s="141" t="s">
        <v>57</v>
      </c>
      <c r="E66" s="142" t="s">
        <v>72</v>
      </c>
      <c r="F66" s="141" t="s">
        <v>33</v>
      </c>
      <c r="G66" s="142"/>
      <c r="H66" s="135"/>
      <c r="I66" s="17">
        <v>6</v>
      </c>
      <c r="J66" s="17"/>
      <c r="K66" s="136">
        <v>0.8</v>
      </c>
    </row>
    <row r="67" spans="1:14" s="140" customFormat="1" x14ac:dyDescent="0.2">
      <c r="A67" s="141" t="s">
        <v>33</v>
      </c>
      <c r="B67" s="142" t="s">
        <v>33</v>
      </c>
      <c r="C67" s="142"/>
      <c r="D67" s="141" t="s">
        <v>33</v>
      </c>
      <c r="E67" s="142" t="s">
        <v>33</v>
      </c>
      <c r="F67" s="141">
        <v>0</v>
      </c>
      <c r="G67" s="142" t="s">
        <v>66</v>
      </c>
      <c r="H67" s="135"/>
      <c r="I67" s="17"/>
      <c r="J67" s="17"/>
      <c r="K67" s="136"/>
    </row>
    <row r="68" spans="1:14" s="140" customFormat="1" x14ac:dyDescent="0.2">
      <c r="A68" s="141" t="s">
        <v>33</v>
      </c>
      <c r="B68" s="142" t="s">
        <v>33</v>
      </c>
      <c r="C68" s="142"/>
      <c r="D68" s="141" t="s">
        <v>33</v>
      </c>
      <c r="E68" s="142" t="s">
        <v>33</v>
      </c>
      <c r="F68" s="141">
        <v>1</v>
      </c>
      <c r="G68" s="142" t="s">
        <v>97</v>
      </c>
      <c r="H68" s="135"/>
      <c r="I68" s="17"/>
      <c r="J68" s="17"/>
      <c r="K68" s="136"/>
    </row>
    <row r="69" spans="1:14" s="140" customFormat="1" x14ac:dyDescent="0.2">
      <c r="A69" s="141" t="s">
        <v>33</v>
      </c>
      <c r="B69" s="142" t="s">
        <v>33</v>
      </c>
      <c r="C69" s="142"/>
      <c r="D69" s="141" t="s">
        <v>33</v>
      </c>
      <c r="E69" s="142" t="s">
        <v>33</v>
      </c>
      <c r="F69" s="141">
        <v>2</v>
      </c>
      <c r="G69" s="142" t="s">
        <v>67</v>
      </c>
      <c r="H69" s="135"/>
      <c r="I69" s="17"/>
      <c r="J69" s="17"/>
      <c r="K69" s="136"/>
    </row>
    <row r="70" spans="1:14" s="140" customFormat="1" x14ac:dyDescent="0.2">
      <c r="A70" s="141" t="s">
        <v>33</v>
      </c>
      <c r="B70" s="142" t="s">
        <v>33</v>
      </c>
      <c r="C70" s="142"/>
      <c r="D70" s="141" t="s">
        <v>33</v>
      </c>
      <c r="E70" s="142" t="s">
        <v>33</v>
      </c>
      <c r="F70" s="141">
        <v>3</v>
      </c>
      <c r="G70" s="142" t="s">
        <v>68</v>
      </c>
      <c r="H70" s="135"/>
      <c r="I70" s="17"/>
      <c r="J70" s="17"/>
      <c r="K70" s="136"/>
    </row>
    <row r="71" spans="1:14" s="140" customFormat="1" x14ac:dyDescent="0.2">
      <c r="A71" s="17" t="s">
        <v>56</v>
      </c>
      <c r="B71" s="135" t="s">
        <v>73</v>
      </c>
      <c r="C71" s="17"/>
      <c r="D71" s="17"/>
      <c r="E71" s="135"/>
      <c r="F71" s="17"/>
      <c r="G71" s="135"/>
      <c r="H71" s="135"/>
      <c r="I71" s="17"/>
      <c r="J71" s="17"/>
      <c r="K71" s="136"/>
    </row>
    <row r="72" spans="1:14" s="140" customFormat="1" x14ac:dyDescent="0.2">
      <c r="A72" s="17"/>
      <c r="B72" s="135"/>
      <c r="C72" s="17"/>
      <c r="D72" s="17" t="s">
        <v>74</v>
      </c>
      <c r="E72" s="135" t="s">
        <v>75</v>
      </c>
      <c r="F72" s="17"/>
      <c r="G72" s="135"/>
      <c r="H72" s="135"/>
      <c r="I72" s="17">
        <v>6</v>
      </c>
      <c r="J72" s="17"/>
      <c r="K72" s="136">
        <v>0.93</v>
      </c>
    </row>
    <row r="73" spans="1:14" s="140" customFormat="1" x14ac:dyDescent="0.2">
      <c r="A73" s="17"/>
      <c r="B73" s="135"/>
      <c r="C73" s="17"/>
      <c r="D73" s="17"/>
      <c r="E73" s="135"/>
      <c r="F73" s="17"/>
      <c r="G73" s="135"/>
      <c r="H73" s="135"/>
      <c r="I73" s="17"/>
      <c r="J73" s="17"/>
      <c r="K73" s="136"/>
    </row>
    <row r="74" spans="1:14" ht="13.5" thickBot="1" x14ac:dyDescent="0.25">
      <c r="A74" s="17" t="s">
        <v>33</v>
      </c>
      <c r="B74" s="16" t="s">
        <v>33</v>
      </c>
      <c r="C74" s="17" t="s">
        <v>33</v>
      </c>
      <c r="D74" s="17" t="s">
        <v>33</v>
      </c>
      <c r="E74" s="16" t="s">
        <v>33</v>
      </c>
      <c r="F74" s="17" t="s">
        <v>33</v>
      </c>
      <c r="G74" s="16" t="s">
        <v>33</v>
      </c>
      <c r="H74" s="16" t="s">
        <v>33</v>
      </c>
      <c r="I74" s="17"/>
      <c r="J74" s="17"/>
      <c r="K74" s="19"/>
    </row>
    <row r="75" spans="1:14" ht="64.5" thickBot="1" x14ac:dyDescent="0.25">
      <c r="A75" s="37" t="s">
        <v>18</v>
      </c>
      <c r="B75" s="38" t="s">
        <v>19</v>
      </c>
      <c r="C75" s="39" t="s">
        <v>11</v>
      </c>
      <c r="D75" s="40" t="s">
        <v>7</v>
      </c>
      <c r="E75" s="41" t="s">
        <v>1</v>
      </c>
      <c r="F75" s="42" t="s">
        <v>2</v>
      </c>
      <c r="G75" s="43" t="s">
        <v>9</v>
      </c>
      <c r="H75" s="44" t="s">
        <v>10</v>
      </c>
      <c r="I75" s="45" t="s">
        <v>3</v>
      </c>
      <c r="J75" s="46" t="s">
        <v>12</v>
      </c>
      <c r="K75" s="47" t="s">
        <v>4</v>
      </c>
      <c r="L75" s="48" t="s">
        <v>37</v>
      </c>
      <c r="M75" s="49" t="s">
        <v>5</v>
      </c>
      <c r="N75" s="50">
        <f>SUM(K76:K77)</f>
        <v>0</v>
      </c>
    </row>
    <row r="76" spans="1:14" x14ac:dyDescent="0.2">
      <c r="A76" s="17"/>
      <c r="B76" s="16"/>
      <c r="C76" s="17"/>
      <c r="D76" s="16"/>
      <c r="E76" s="16"/>
      <c r="F76" s="16"/>
      <c r="G76" s="16"/>
      <c r="H76" s="16"/>
      <c r="I76" s="16"/>
      <c r="J76" s="16"/>
      <c r="K76" s="16"/>
    </row>
    <row r="77" spans="1:14" ht="13.5" thickBot="1" x14ac:dyDescent="0.25">
      <c r="A77" s="17" t="s">
        <v>33</v>
      </c>
      <c r="B77" s="16" t="s">
        <v>33</v>
      </c>
      <c r="C77" s="17" t="s">
        <v>33</v>
      </c>
      <c r="D77" s="17" t="s">
        <v>33</v>
      </c>
      <c r="E77" s="16" t="s">
        <v>33</v>
      </c>
      <c r="F77" s="17" t="s">
        <v>33</v>
      </c>
      <c r="G77" s="16" t="s">
        <v>33</v>
      </c>
      <c r="H77" s="16" t="s">
        <v>33</v>
      </c>
      <c r="I77" s="17"/>
      <c r="J77" s="17"/>
      <c r="K77" s="19"/>
    </row>
    <row r="78" spans="1:14" ht="64.5" thickBot="1" x14ac:dyDescent="0.25">
      <c r="A78" s="51" t="s">
        <v>18</v>
      </c>
      <c r="B78" s="52" t="s">
        <v>19</v>
      </c>
      <c r="C78" s="53" t="s">
        <v>11</v>
      </c>
      <c r="D78" s="54" t="s">
        <v>7</v>
      </c>
      <c r="E78" s="55" t="s">
        <v>1</v>
      </c>
      <c r="F78" s="56" t="s">
        <v>2</v>
      </c>
      <c r="G78" s="57" t="s">
        <v>9</v>
      </c>
      <c r="H78" s="58" t="s">
        <v>10</v>
      </c>
      <c r="I78" s="59" t="s">
        <v>3</v>
      </c>
      <c r="J78" s="60" t="s">
        <v>12</v>
      </c>
      <c r="K78" s="61" t="s">
        <v>4</v>
      </c>
      <c r="L78" s="62" t="s">
        <v>38</v>
      </c>
      <c r="M78" s="63" t="s">
        <v>5</v>
      </c>
      <c r="N78" s="64">
        <f>SUM(K79:K80)</f>
        <v>0</v>
      </c>
    </row>
    <row r="79" spans="1:14" x14ac:dyDescent="0.2">
      <c r="A79" s="17"/>
      <c r="B79" s="16"/>
      <c r="C79" s="17"/>
      <c r="D79" s="16"/>
      <c r="E79" s="16"/>
      <c r="F79" s="16"/>
      <c r="G79" s="16"/>
      <c r="H79" s="16"/>
      <c r="I79" s="16"/>
      <c r="J79" s="16"/>
      <c r="K79" s="16"/>
    </row>
    <row r="80" spans="1:14" ht="13.5" thickBot="1" x14ac:dyDescent="0.25">
      <c r="A80" s="17" t="s">
        <v>33</v>
      </c>
      <c r="B80" s="16" t="s">
        <v>33</v>
      </c>
      <c r="C80" s="17" t="s">
        <v>33</v>
      </c>
      <c r="D80" s="17" t="s">
        <v>33</v>
      </c>
      <c r="E80" s="16" t="s">
        <v>33</v>
      </c>
      <c r="F80" s="17" t="s">
        <v>33</v>
      </c>
      <c r="G80" s="16" t="s">
        <v>33</v>
      </c>
      <c r="H80" s="16" t="s">
        <v>33</v>
      </c>
      <c r="I80" s="17"/>
      <c r="J80" s="17"/>
      <c r="K80" s="19"/>
    </row>
    <row r="81" spans="1:14" ht="64.5" thickBot="1" x14ac:dyDescent="0.25">
      <c r="A81" s="65" t="s">
        <v>18</v>
      </c>
      <c r="B81" s="66" t="s">
        <v>19</v>
      </c>
      <c r="C81" s="67" t="s">
        <v>11</v>
      </c>
      <c r="D81" s="68" t="s">
        <v>7</v>
      </c>
      <c r="E81" s="69" t="s">
        <v>1</v>
      </c>
      <c r="F81" s="70" t="s">
        <v>2</v>
      </c>
      <c r="G81" s="71" t="s">
        <v>9</v>
      </c>
      <c r="H81" s="72" t="s">
        <v>10</v>
      </c>
      <c r="I81" s="73" t="s">
        <v>3</v>
      </c>
      <c r="J81" s="74" t="s">
        <v>12</v>
      </c>
      <c r="K81" s="75" t="s">
        <v>4</v>
      </c>
      <c r="L81" s="76" t="s">
        <v>39</v>
      </c>
      <c r="M81" s="77" t="s">
        <v>5</v>
      </c>
      <c r="N81" s="78">
        <f>SUM(K82:K83)</f>
        <v>0</v>
      </c>
    </row>
    <row r="82" spans="1:14" x14ac:dyDescent="0.2">
      <c r="A82" s="17"/>
      <c r="B82" s="16"/>
      <c r="C82" s="17"/>
      <c r="D82" s="16"/>
      <c r="E82" s="16"/>
      <c r="F82" s="16"/>
      <c r="G82" s="16"/>
      <c r="H82" s="16"/>
      <c r="I82" s="16"/>
      <c r="J82" s="16"/>
      <c r="K82" s="16"/>
    </row>
    <row r="83" spans="1:14" ht="13.5" thickBot="1" x14ac:dyDescent="0.25">
      <c r="A83" s="17" t="s">
        <v>33</v>
      </c>
      <c r="B83" s="16" t="s">
        <v>33</v>
      </c>
      <c r="C83" s="17" t="s">
        <v>33</v>
      </c>
      <c r="D83" s="17" t="s">
        <v>33</v>
      </c>
      <c r="E83" s="16" t="s">
        <v>33</v>
      </c>
      <c r="F83" s="17" t="s">
        <v>33</v>
      </c>
      <c r="G83" s="16" t="s">
        <v>33</v>
      </c>
      <c r="H83" s="16" t="s">
        <v>33</v>
      </c>
      <c r="I83" s="17"/>
      <c r="J83" s="17"/>
      <c r="K83" s="19"/>
    </row>
    <row r="84" spans="1:14" ht="64.5" thickBot="1" x14ac:dyDescent="0.25">
      <c r="A84" s="79" t="s">
        <v>18</v>
      </c>
      <c r="B84" s="80" t="s">
        <v>19</v>
      </c>
      <c r="C84" s="81" t="s">
        <v>11</v>
      </c>
      <c r="D84" s="82" t="s">
        <v>7</v>
      </c>
      <c r="E84" s="83" t="s">
        <v>1</v>
      </c>
      <c r="F84" s="84" t="s">
        <v>2</v>
      </c>
      <c r="G84" s="85" t="s">
        <v>9</v>
      </c>
      <c r="H84" s="86" t="s">
        <v>10</v>
      </c>
      <c r="I84" s="87" t="s">
        <v>3</v>
      </c>
      <c r="J84" s="88" t="s">
        <v>12</v>
      </c>
      <c r="K84" s="89" t="s">
        <v>4</v>
      </c>
      <c r="L84" s="90" t="s">
        <v>40</v>
      </c>
      <c r="M84" s="91" t="s">
        <v>5</v>
      </c>
      <c r="N84" s="92">
        <f>SUM(K85:K86)</f>
        <v>0</v>
      </c>
    </row>
    <row r="85" spans="1:14" x14ac:dyDescent="0.2">
      <c r="A85" s="17"/>
      <c r="B85" s="16"/>
      <c r="C85" s="17"/>
      <c r="D85" s="16"/>
      <c r="E85" s="16"/>
      <c r="F85" s="16"/>
      <c r="G85" s="16"/>
      <c r="H85" s="16"/>
      <c r="I85" s="16"/>
      <c r="J85" s="16"/>
      <c r="K85" s="16"/>
    </row>
    <row r="86" spans="1:14" ht="13.5" thickBot="1" x14ac:dyDescent="0.25">
      <c r="A86" s="17" t="s">
        <v>33</v>
      </c>
      <c r="B86" s="16" t="s">
        <v>33</v>
      </c>
      <c r="C86" s="17" t="s">
        <v>33</v>
      </c>
      <c r="D86" s="17" t="s">
        <v>33</v>
      </c>
      <c r="E86" s="16" t="s">
        <v>33</v>
      </c>
      <c r="F86" s="17" t="s">
        <v>33</v>
      </c>
      <c r="G86" s="16" t="s">
        <v>33</v>
      </c>
      <c r="H86" s="16" t="s">
        <v>33</v>
      </c>
      <c r="I86" s="17"/>
      <c r="J86" s="17"/>
      <c r="K86" s="19"/>
    </row>
    <row r="87" spans="1:14" ht="64.5" thickBot="1" x14ac:dyDescent="0.25">
      <c r="A87" s="93" t="s">
        <v>18</v>
      </c>
      <c r="B87" s="94" t="s">
        <v>19</v>
      </c>
      <c r="C87" s="95" t="s">
        <v>11</v>
      </c>
      <c r="D87" s="96" t="s">
        <v>7</v>
      </c>
      <c r="E87" s="97" t="s">
        <v>1</v>
      </c>
      <c r="F87" s="98" t="s">
        <v>2</v>
      </c>
      <c r="G87" s="99" t="s">
        <v>9</v>
      </c>
      <c r="H87" s="100" t="s">
        <v>10</v>
      </c>
      <c r="I87" s="101" t="s">
        <v>3</v>
      </c>
      <c r="J87" s="102" t="s">
        <v>12</v>
      </c>
      <c r="K87" s="103" t="s">
        <v>4</v>
      </c>
      <c r="L87" s="104" t="s">
        <v>41</v>
      </c>
      <c r="M87" s="105" t="s">
        <v>5</v>
      </c>
      <c r="N87" s="106">
        <f>SUM(K88:K89)</f>
        <v>0</v>
      </c>
    </row>
    <row r="88" spans="1:14" x14ac:dyDescent="0.2">
      <c r="A88" s="17"/>
      <c r="B88" s="16"/>
      <c r="C88" s="17"/>
      <c r="D88" s="16"/>
      <c r="E88" s="16"/>
      <c r="F88" s="16"/>
      <c r="G88" s="16"/>
      <c r="H88" s="16"/>
      <c r="I88" s="16"/>
      <c r="J88" s="16"/>
      <c r="K88" s="16"/>
    </row>
    <row r="89" spans="1:14" ht="13.5" thickBot="1" x14ac:dyDescent="0.25">
      <c r="A89" s="17" t="s">
        <v>33</v>
      </c>
      <c r="B89" s="16" t="s">
        <v>33</v>
      </c>
      <c r="C89" s="17" t="s">
        <v>33</v>
      </c>
      <c r="D89" s="17" t="s">
        <v>33</v>
      </c>
      <c r="E89" s="16" t="s">
        <v>33</v>
      </c>
      <c r="F89" s="17" t="s">
        <v>33</v>
      </c>
      <c r="G89" s="16" t="s">
        <v>33</v>
      </c>
      <c r="H89" s="16" t="s">
        <v>33</v>
      </c>
      <c r="I89" s="17"/>
      <c r="J89" s="17"/>
      <c r="K89" s="19"/>
    </row>
    <row r="90" spans="1:14" ht="64.5" thickBot="1" x14ac:dyDescent="0.25">
      <c r="A90" s="107" t="s">
        <v>18</v>
      </c>
      <c r="B90" s="108" t="s">
        <v>19</v>
      </c>
      <c r="C90" s="109" t="s">
        <v>11</v>
      </c>
      <c r="D90" s="110" t="s">
        <v>7</v>
      </c>
      <c r="E90" s="111" t="s">
        <v>1</v>
      </c>
      <c r="F90" s="112" t="s">
        <v>2</v>
      </c>
      <c r="G90" s="113" t="s">
        <v>9</v>
      </c>
      <c r="H90" s="114" t="s">
        <v>10</v>
      </c>
      <c r="I90" s="115" t="s">
        <v>3</v>
      </c>
      <c r="J90" s="116" t="s">
        <v>12</v>
      </c>
      <c r="K90" s="117" t="s">
        <v>4</v>
      </c>
      <c r="L90" s="118" t="s">
        <v>42</v>
      </c>
      <c r="M90" s="119" t="s">
        <v>5</v>
      </c>
      <c r="N90" s="120">
        <f>SUM(K94:K95)</f>
        <v>0</v>
      </c>
    </row>
    <row r="91" spans="1:14" x14ac:dyDescent="0.2">
      <c r="A91" s="17"/>
      <c r="B91" s="16"/>
      <c r="C91" s="17"/>
      <c r="D91" s="16"/>
      <c r="E91" s="16"/>
      <c r="F91" s="16"/>
      <c r="G91" s="16"/>
      <c r="H91" s="16"/>
      <c r="I91" s="16"/>
      <c r="J91" s="16"/>
      <c r="K91" s="16"/>
    </row>
    <row r="92" spans="1:14" ht="13.5" thickBot="1" x14ac:dyDescent="0.25">
      <c r="A92" s="17" t="s">
        <v>33</v>
      </c>
      <c r="B92" s="16" t="s">
        <v>33</v>
      </c>
      <c r="C92" s="17" t="s">
        <v>33</v>
      </c>
      <c r="D92" s="17" t="s">
        <v>33</v>
      </c>
      <c r="E92" s="16" t="s">
        <v>33</v>
      </c>
      <c r="F92" s="17" t="s">
        <v>33</v>
      </c>
      <c r="G92" s="16" t="s">
        <v>33</v>
      </c>
      <c r="H92" s="16" t="s">
        <v>33</v>
      </c>
      <c r="I92" s="17"/>
      <c r="J92" s="17"/>
      <c r="K92" s="19"/>
    </row>
    <row r="93" spans="1:14" ht="64.5" thickBot="1" x14ac:dyDescent="0.25">
      <c r="A93" s="121" t="s">
        <v>18</v>
      </c>
      <c r="B93" s="122" t="s">
        <v>19</v>
      </c>
      <c r="C93" s="123" t="s">
        <v>11</v>
      </c>
      <c r="D93" s="124" t="s">
        <v>7</v>
      </c>
      <c r="E93" s="125" t="s">
        <v>1</v>
      </c>
      <c r="F93" s="126" t="s">
        <v>2</v>
      </c>
      <c r="G93" s="127" t="s">
        <v>9</v>
      </c>
      <c r="H93" s="128" t="s">
        <v>10</v>
      </c>
      <c r="I93" s="129" t="s">
        <v>3</v>
      </c>
      <c r="J93" s="130" t="s">
        <v>12</v>
      </c>
      <c r="K93" s="131" t="s">
        <v>4</v>
      </c>
      <c r="L93" s="132" t="s">
        <v>43</v>
      </c>
      <c r="M93" s="133" t="s">
        <v>5</v>
      </c>
      <c r="N93" s="134">
        <f>SUM(K94:K95)</f>
        <v>0</v>
      </c>
    </row>
    <row r="94" spans="1:14" x14ac:dyDescent="0.2">
      <c r="A94" s="17" t="s">
        <v>33</v>
      </c>
      <c r="B94" s="16" t="s">
        <v>33</v>
      </c>
      <c r="C94" s="17" t="s">
        <v>33</v>
      </c>
      <c r="D94" s="17" t="s">
        <v>33</v>
      </c>
      <c r="E94" s="16" t="s">
        <v>33</v>
      </c>
      <c r="F94" s="17" t="s">
        <v>33</v>
      </c>
      <c r="G94" s="16" t="s">
        <v>33</v>
      </c>
      <c r="H94" s="16" t="s">
        <v>33</v>
      </c>
      <c r="I94" s="17"/>
      <c r="J94" s="17"/>
      <c r="K94" s="19"/>
    </row>
    <row r="95" spans="1:14" ht="13.5" thickBot="1" x14ac:dyDescent="0.25">
      <c r="A95" s="20" t="s">
        <v>33</v>
      </c>
      <c r="B95" s="20" t="s">
        <v>33</v>
      </c>
      <c r="C95" s="20" t="s">
        <v>33</v>
      </c>
      <c r="D95" s="20" t="s">
        <v>33</v>
      </c>
      <c r="E95" s="20" t="s">
        <v>33</v>
      </c>
      <c r="F95" s="20" t="s">
        <v>33</v>
      </c>
      <c r="G95" s="20" t="s">
        <v>33</v>
      </c>
      <c r="H95" s="20" t="s">
        <v>33</v>
      </c>
      <c r="I95" s="20" t="s">
        <v>33</v>
      </c>
      <c r="J95" s="20" t="s">
        <v>33</v>
      </c>
      <c r="K95" s="20" t="s">
        <v>33</v>
      </c>
    </row>
    <row r="98" spans="12:14" ht="40.5" x14ac:dyDescent="0.2">
      <c r="L98" s="5" t="s">
        <v>6</v>
      </c>
      <c r="M98" s="6" t="s">
        <v>5</v>
      </c>
      <c r="N98" s="7">
        <f>SUM(N1:N96)</f>
        <v>15.829999999999998</v>
      </c>
    </row>
  </sheetData>
  <mergeCells count="23">
    <mergeCell ref="B26:J26"/>
    <mergeCell ref="B9:H9"/>
    <mergeCell ref="B10:H10"/>
    <mergeCell ref="B21:J21"/>
    <mergeCell ref="B22:J22"/>
    <mergeCell ref="B23:J23"/>
    <mergeCell ref="B24:J24"/>
    <mergeCell ref="B25:J25"/>
    <mergeCell ref="A16:K16"/>
    <mergeCell ref="B17:J17"/>
    <mergeCell ref="B18:J18"/>
    <mergeCell ref="B19:J19"/>
    <mergeCell ref="B20:J20"/>
    <mergeCell ref="B7:H7"/>
    <mergeCell ref="B8:H8"/>
    <mergeCell ref="B11:H11"/>
    <mergeCell ref="I13:J13"/>
    <mergeCell ref="B12:H12"/>
    <mergeCell ref="B4:H4"/>
    <mergeCell ref="A3:K3"/>
    <mergeCell ref="A1:K1"/>
    <mergeCell ref="B5:H5"/>
    <mergeCell ref="B6:H6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ColWidth="8.85546875" defaultRowHeight="12.75" x14ac:dyDescent="0.2"/>
  <cols>
    <col min="1" max="1" width="21.28515625" style="1" customWidth="1"/>
    <col min="2" max="2" width="28.7109375" style="1" customWidth="1"/>
    <col min="3" max="3" width="7.140625" style="1" customWidth="1"/>
    <col min="4" max="4" width="69.42578125" style="1" customWidth="1"/>
    <col min="5" max="16384" width="8.85546875" style="1"/>
  </cols>
  <sheetData>
    <row r="1" spans="1:4" x14ac:dyDescent="0.2">
      <c r="A1" t="s">
        <v>33</v>
      </c>
      <c r="B1" t="s">
        <v>34</v>
      </c>
      <c r="C1" t="b">
        <v>0</v>
      </c>
      <c r="D1" t="s">
        <v>35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Daniel Viana</cp:lastModifiedBy>
  <cp:lastPrinted>2010-04-28T04:08:36Z</cp:lastPrinted>
  <dcterms:created xsi:type="dcterms:W3CDTF">2010-04-27T04:25:00Z</dcterms:created>
  <dcterms:modified xsi:type="dcterms:W3CDTF">2020-08-25T01:30:57Z</dcterms:modified>
</cp:coreProperties>
</file>